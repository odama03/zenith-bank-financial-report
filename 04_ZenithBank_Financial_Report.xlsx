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₦#,##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B2631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24" customWidth="1" min="5" max="5"/>
    <col width="18" customWidth="1" min="6" max="6"/>
    <col width="22" customWidth="1" min="7" max="7"/>
    <col width="22" customWidth="1" min="8" max="8"/>
    <col width="16" customWidth="1" min="9" max="9"/>
    <col width="18" customWidth="1" min="10" max="10"/>
    <col width="14" customWidth="1" min="11" max="11"/>
    <col width="20" customWidth="1" min="12" max="12"/>
  </cols>
  <sheetData>
    <row r="1" ht="30" customHeight="1">
      <c r="A1" s="1" t="inlineStr">
        <is>
          <t>ZENITH BANK PLC — MONTHLY FINANCIAL REPORT DATA</t>
        </is>
      </c>
    </row>
    <row r="2" ht="18" customHeight="1">
      <c r="A2" s="2" t="inlineStr">
        <is>
          <t>Company: Zenith Bank Plc  |  Project: Financial &amp; Business Report Analysis</t>
        </is>
      </c>
    </row>
    <row r="3" ht="22" customHeight="1">
      <c r="A3" s="3" t="inlineStr">
        <is>
          <t>Month</t>
        </is>
      </c>
      <c r="B3" s="3" t="inlineStr">
        <is>
          <t>Year</t>
        </is>
      </c>
      <c r="C3" s="3" t="inlineStr">
        <is>
          <t>Quarter</t>
        </is>
      </c>
      <c r="D3" s="3" t="inlineStr">
        <is>
          <t>Interest Income (₦)</t>
        </is>
      </c>
      <c r="E3" s="3" t="inlineStr">
        <is>
          <t>Non-Interest Income (₦)</t>
        </is>
      </c>
      <c r="F3" s="3" t="inlineStr">
        <is>
          <t>Total Revenue (₦)</t>
        </is>
      </c>
      <c r="G3" s="3" t="inlineStr">
        <is>
          <t>Operating Expenses (₦)</t>
        </is>
      </c>
      <c r="H3" s="3" t="inlineStr">
        <is>
          <t>Loan Loss Provision (₦)</t>
        </is>
      </c>
      <c r="I3" s="3" t="inlineStr">
        <is>
          <t>Net Profit (₦)</t>
        </is>
      </c>
      <c r="J3" s="3" t="inlineStr">
        <is>
          <t>Return on Equity %</t>
        </is>
      </c>
      <c r="K3" s="3" t="inlineStr">
        <is>
          <t>NPL Ratio %</t>
        </is>
      </c>
      <c r="L3" s="3" t="inlineStr">
        <is>
          <t>Total Assets (₦)</t>
        </is>
      </c>
    </row>
    <row r="4">
      <c r="A4" s="4" t="inlineStr">
        <is>
          <t>Jan</t>
        </is>
      </c>
      <c r="B4" s="4" t="n">
        <v>2022</v>
      </c>
      <c r="C4" s="4" t="inlineStr">
        <is>
          <t>Q1</t>
        </is>
      </c>
      <c r="D4" s="5" t="n">
        <v>8553163572.69</v>
      </c>
      <c r="E4" s="5" t="n">
        <v>3168379829</v>
      </c>
      <c r="F4" s="6">
        <f>D4+E4</f>
        <v/>
      </c>
      <c r="G4" s="5" t="n">
        <v>2607328847.53</v>
      </c>
      <c r="H4" s="5" t="n">
        <v>985775021.52</v>
      </c>
      <c r="I4" s="6">
        <f>F4-G4-H4</f>
        <v/>
      </c>
      <c r="J4" s="7" t="n">
        <v>29.7</v>
      </c>
      <c r="K4" s="7" t="n">
        <v>7.7</v>
      </c>
      <c r="L4" s="5" t="n">
        <v>141180867853.09</v>
      </c>
    </row>
    <row r="5">
      <c r="A5" s="8" t="inlineStr">
        <is>
          <t>Feb</t>
        </is>
      </c>
      <c r="B5" s="8" t="n">
        <v>2022</v>
      </c>
      <c r="C5" s="8" t="inlineStr">
        <is>
          <t>Q1</t>
        </is>
      </c>
      <c r="D5" s="9" t="n">
        <v>8406298672.94</v>
      </c>
      <c r="E5" s="9" t="n">
        <v>2313326031.66</v>
      </c>
      <c r="F5" s="10">
        <f>D5+E5</f>
        <v/>
      </c>
      <c r="G5" s="9" t="n">
        <v>3830869218.58</v>
      </c>
      <c r="H5" s="9" t="n">
        <v>475798028.76</v>
      </c>
      <c r="I5" s="10">
        <f>F5-G5-H5</f>
        <v/>
      </c>
      <c r="J5" s="11" t="n">
        <v>28.4</v>
      </c>
      <c r="K5" s="11" t="n">
        <v>4.6</v>
      </c>
      <c r="L5" s="9" t="n">
        <v>112268736985.96</v>
      </c>
    </row>
    <row r="6">
      <c r="A6" s="4" t="inlineStr">
        <is>
          <t>Mar</t>
        </is>
      </c>
      <c r="B6" s="4" t="n">
        <v>2022</v>
      </c>
      <c r="C6" s="4" t="inlineStr">
        <is>
          <t>Q1</t>
        </is>
      </c>
      <c r="D6" s="5" t="n">
        <v>8368174333.61</v>
      </c>
      <c r="E6" s="5" t="n">
        <v>2052899889.54</v>
      </c>
      <c r="F6" s="6">
        <f>D6+E6</f>
        <v/>
      </c>
      <c r="G6" s="5" t="n">
        <v>3786097106.7</v>
      </c>
      <c r="H6" s="5" t="n">
        <v>967071103.0700001</v>
      </c>
      <c r="I6" s="6">
        <f>F6-G6-H6</f>
        <v/>
      </c>
      <c r="J6" s="7" t="n">
        <v>27.2</v>
      </c>
      <c r="K6" s="7" t="n">
        <v>4.5</v>
      </c>
      <c r="L6" s="5" t="n">
        <v>150648640488.29</v>
      </c>
    </row>
    <row r="7">
      <c r="A7" s="8" t="inlineStr">
        <is>
          <t>Apr</t>
        </is>
      </c>
      <c r="B7" s="8" t="n">
        <v>2022</v>
      </c>
      <c r="C7" s="8" t="inlineStr">
        <is>
          <t>Q2</t>
        </is>
      </c>
      <c r="D7" s="9" t="n">
        <v>8494240215.16</v>
      </c>
      <c r="E7" s="9" t="n">
        <v>2399118007.44</v>
      </c>
      <c r="F7" s="10">
        <f>D7+E7</f>
        <v/>
      </c>
      <c r="G7" s="9" t="n">
        <v>3696551447.5</v>
      </c>
      <c r="H7" s="9" t="n">
        <v>762600658.9299999</v>
      </c>
      <c r="I7" s="10">
        <f>F7-G7-H7</f>
        <v/>
      </c>
      <c r="J7" s="11" t="n">
        <v>15.2</v>
      </c>
      <c r="K7" s="11" t="n">
        <v>7.6</v>
      </c>
      <c r="L7" s="9" t="n">
        <v>141858786870.48</v>
      </c>
    </row>
    <row r="8">
      <c r="A8" s="4" t="inlineStr">
        <is>
          <t>May</t>
        </is>
      </c>
      <c r="B8" s="4" t="n">
        <v>2022</v>
      </c>
      <c r="C8" s="4" t="inlineStr">
        <is>
          <t>Q2</t>
        </is>
      </c>
      <c r="D8" s="5" t="n">
        <v>9152479020.940001</v>
      </c>
      <c r="E8" s="5" t="n">
        <v>2061535243.93</v>
      </c>
      <c r="F8" s="6">
        <f>D8+E8</f>
        <v/>
      </c>
      <c r="G8" s="5" t="n">
        <v>4385792592.9</v>
      </c>
      <c r="H8" s="5" t="n">
        <v>1208241460.42</v>
      </c>
      <c r="I8" s="6">
        <f>F8-G8-H8</f>
        <v/>
      </c>
      <c r="J8" s="7" t="n">
        <v>28.7</v>
      </c>
      <c r="K8" s="7" t="n">
        <v>4.2</v>
      </c>
      <c r="L8" s="5" t="n">
        <v>111850428595.16</v>
      </c>
    </row>
    <row r="9">
      <c r="A9" s="8" t="inlineStr">
        <is>
          <t>Jun</t>
        </is>
      </c>
      <c r="B9" s="8" t="n">
        <v>2022</v>
      </c>
      <c r="C9" s="8" t="inlineStr">
        <is>
          <t>Q2</t>
        </is>
      </c>
      <c r="D9" s="9" t="n">
        <v>9183791102.42</v>
      </c>
      <c r="E9" s="9" t="n">
        <v>2184197258.9</v>
      </c>
      <c r="F9" s="10">
        <f>D9+E9</f>
        <v/>
      </c>
      <c r="G9" s="9" t="n">
        <v>2919964432.59</v>
      </c>
      <c r="H9" s="9" t="n">
        <v>1316755356.65</v>
      </c>
      <c r="I9" s="10">
        <f>F9-G9-H9</f>
        <v/>
      </c>
      <c r="J9" s="11" t="n">
        <v>21.2</v>
      </c>
      <c r="K9" s="11" t="n">
        <v>4.6</v>
      </c>
      <c r="L9" s="9" t="n">
        <v>136171201039.53</v>
      </c>
    </row>
    <row r="10">
      <c r="A10" s="4" t="inlineStr">
        <is>
          <t>Jul</t>
        </is>
      </c>
      <c r="B10" s="4" t="n">
        <v>2022</v>
      </c>
      <c r="C10" s="4" t="inlineStr">
        <is>
          <t>Q3</t>
        </is>
      </c>
      <c r="D10" s="5" t="n">
        <v>9111163096.110001</v>
      </c>
      <c r="E10" s="5" t="n">
        <v>2372918245.91</v>
      </c>
      <c r="F10" s="6">
        <f>D10+E10</f>
        <v/>
      </c>
      <c r="G10" s="5" t="n">
        <v>3434550496.37</v>
      </c>
      <c r="H10" s="5" t="n">
        <v>1019110901.24</v>
      </c>
      <c r="I10" s="6">
        <f>F10-G10-H10</f>
        <v/>
      </c>
      <c r="J10" s="7" t="n">
        <v>15.8</v>
      </c>
      <c r="K10" s="7" t="n">
        <v>4.4</v>
      </c>
      <c r="L10" s="5" t="n">
        <v>155595260775.89</v>
      </c>
    </row>
    <row r="11">
      <c r="A11" s="8" t="inlineStr">
        <is>
          <t>Aug</t>
        </is>
      </c>
      <c r="B11" s="8" t="n">
        <v>2022</v>
      </c>
      <c r="C11" s="8" t="inlineStr">
        <is>
          <t>Q3</t>
        </is>
      </c>
      <c r="D11" s="9" t="n">
        <v>9759269312.67</v>
      </c>
      <c r="E11" s="9" t="n">
        <v>3181222777.13</v>
      </c>
      <c r="F11" s="10">
        <f>D11+E11</f>
        <v/>
      </c>
      <c r="G11" s="9" t="n">
        <v>2941998026.47</v>
      </c>
      <c r="H11" s="9" t="n">
        <v>1073733350.15</v>
      </c>
      <c r="I11" s="10">
        <f>F11-G11-H11</f>
        <v/>
      </c>
      <c r="J11" s="11" t="n">
        <v>20.7</v>
      </c>
      <c r="K11" s="11" t="n">
        <v>7.6</v>
      </c>
      <c r="L11" s="9" t="n">
        <v>155784738653.87</v>
      </c>
    </row>
    <row r="12">
      <c r="A12" s="4" t="inlineStr">
        <is>
          <t>Sep</t>
        </is>
      </c>
      <c r="B12" s="4" t="n">
        <v>2022</v>
      </c>
      <c r="C12" s="4" t="inlineStr">
        <is>
          <t>Q3</t>
        </is>
      </c>
      <c r="D12" s="5" t="n">
        <v>9490809378.08</v>
      </c>
      <c r="E12" s="5" t="n">
        <v>2212649299.45</v>
      </c>
      <c r="F12" s="6">
        <f>D12+E12</f>
        <v/>
      </c>
      <c r="G12" s="5" t="n">
        <v>3856466204.83</v>
      </c>
      <c r="H12" s="5" t="n">
        <v>1268673024.2</v>
      </c>
      <c r="I12" s="6">
        <f>F12-G12-H12</f>
        <v/>
      </c>
      <c r="J12" s="7" t="n">
        <v>25</v>
      </c>
      <c r="K12" s="7" t="n">
        <v>3.4</v>
      </c>
      <c r="L12" s="5" t="n">
        <v>151008876316.84</v>
      </c>
    </row>
    <row r="13">
      <c r="A13" s="8" t="inlineStr">
        <is>
          <t>Oct</t>
        </is>
      </c>
      <c r="B13" s="8" t="n">
        <v>2022</v>
      </c>
      <c r="C13" s="8" t="inlineStr">
        <is>
          <t>Q4</t>
        </is>
      </c>
      <c r="D13" s="9" t="n">
        <v>9584662154.93</v>
      </c>
      <c r="E13" s="9" t="n">
        <v>3674820069.89</v>
      </c>
      <c r="F13" s="10">
        <f>D13+E13</f>
        <v/>
      </c>
      <c r="G13" s="9" t="n">
        <v>3091832437.63</v>
      </c>
      <c r="H13" s="9" t="n">
        <v>1146154078.9</v>
      </c>
      <c r="I13" s="10">
        <f>F13-G13-H13</f>
        <v/>
      </c>
      <c r="J13" s="11" t="n">
        <v>25.4</v>
      </c>
      <c r="K13" s="11" t="n">
        <v>3.2</v>
      </c>
      <c r="L13" s="9" t="n">
        <v>150201117434.92</v>
      </c>
    </row>
    <row r="14">
      <c r="A14" s="4" t="inlineStr">
        <is>
          <t>Nov</t>
        </is>
      </c>
      <c r="B14" s="4" t="n">
        <v>2022</v>
      </c>
      <c r="C14" s="4" t="inlineStr">
        <is>
          <t>Q4</t>
        </is>
      </c>
      <c r="D14" s="5" t="n">
        <v>9801445878.129999</v>
      </c>
      <c r="E14" s="5" t="n">
        <v>2633591818.27</v>
      </c>
      <c r="F14" s="6">
        <f>D14+E14</f>
        <v/>
      </c>
      <c r="G14" s="5" t="n">
        <v>4092034965.38</v>
      </c>
      <c r="H14" s="5" t="n">
        <v>658970659.21</v>
      </c>
      <c r="I14" s="6">
        <f>F14-G14-H14</f>
        <v/>
      </c>
      <c r="J14" s="7" t="n">
        <v>29</v>
      </c>
      <c r="K14" s="7" t="n">
        <v>4.4</v>
      </c>
      <c r="L14" s="5" t="n">
        <v>140970972299.59</v>
      </c>
    </row>
    <row r="15">
      <c r="A15" s="8" t="inlineStr">
        <is>
          <t>Dec</t>
        </is>
      </c>
      <c r="B15" s="8" t="n">
        <v>2022</v>
      </c>
      <c r="C15" s="8" t="inlineStr">
        <is>
          <t>Q4</t>
        </is>
      </c>
      <c r="D15" s="9" t="n">
        <v>9844075884.139999</v>
      </c>
      <c r="E15" s="9" t="n">
        <v>2056959833.59</v>
      </c>
      <c r="F15" s="10">
        <f>D15+E15</f>
        <v/>
      </c>
      <c r="G15" s="9" t="n">
        <v>3016342272.06</v>
      </c>
      <c r="H15" s="9" t="n">
        <v>758851311.45</v>
      </c>
      <c r="I15" s="10">
        <f>F15-G15-H15</f>
        <v/>
      </c>
      <c r="J15" s="11" t="n">
        <v>18.6</v>
      </c>
      <c r="K15" s="11" t="n">
        <v>3.1</v>
      </c>
      <c r="L15" s="9" t="n">
        <v>170383669507.05</v>
      </c>
    </row>
    <row r="16">
      <c r="A16" s="4" t="inlineStr">
        <is>
          <t>Jan</t>
        </is>
      </c>
      <c r="B16" s="4" t="n">
        <v>2023</v>
      </c>
      <c r="C16" s="4" t="inlineStr">
        <is>
          <t>Q1</t>
        </is>
      </c>
      <c r="D16" s="5" t="n">
        <v>10389933198.58</v>
      </c>
      <c r="E16" s="5" t="n">
        <v>2445487828.71</v>
      </c>
      <c r="F16" s="6">
        <f>D16+E16</f>
        <v/>
      </c>
      <c r="G16" s="5" t="n">
        <v>3311197080.56</v>
      </c>
      <c r="H16" s="5" t="n">
        <v>1513692389.41</v>
      </c>
      <c r="I16" s="6">
        <f>F16-G16-H16</f>
        <v/>
      </c>
      <c r="J16" s="7" t="n">
        <v>24</v>
      </c>
      <c r="K16" s="7" t="n">
        <v>6.2</v>
      </c>
      <c r="L16" s="5" t="n">
        <v>159835897520.67</v>
      </c>
    </row>
    <row r="17">
      <c r="A17" s="8" t="inlineStr">
        <is>
          <t>Feb</t>
        </is>
      </c>
      <c r="B17" s="8" t="n">
        <v>2023</v>
      </c>
      <c r="C17" s="8" t="inlineStr">
        <is>
          <t>Q1</t>
        </is>
      </c>
      <c r="D17" s="9" t="n">
        <v>10304405026.77</v>
      </c>
      <c r="E17" s="9" t="n">
        <v>3983827049.43</v>
      </c>
      <c r="F17" s="10">
        <f>D17+E17</f>
        <v/>
      </c>
      <c r="G17" s="9" t="n">
        <v>3610157931.05</v>
      </c>
      <c r="H17" s="9" t="n">
        <v>1535481285.41</v>
      </c>
      <c r="I17" s="10">
        <f>F17-G17-H17</f>
        <v/>
      </c>
      <c r="J17" s="11" t="n">
        <v>20</v>
      </c>
      <c r="K17" s="11" t="n">
        <v>2.7</v>
      </c>
      <c r="L17" s="9" t="n">
        <v>134930619277.34</v>
      </c>
    </row>
    <row r="18">
      <c r="A18" s="4" t="inlineStr">
        <is>
          <t>Mar</t>
        </is>
      </c>
      <c r="B18" s="4" t="n">
        <v>2023</v>
      </c>
      <c r="C18" s="4" t="inlineStr">
        <is>
          <t>Q1</t>
        </is>
      </c>
      <c r="D18" s="5" t="n">
        <v>10031619314.33</v>
      </c>
      <c r="E18" s="5" t="n">
        <v>2664519399.84</v>
      </c>
      <c r="F18" s="6">
        <f>D18+E18</f>
        <v/>
      </c>
      <c r="G18" s="5" t="n">
        <v>4935833939.92</v>
      </c>
      <c r="H18" s="5" t="n">
        <v>706718634.25</v>
      </c>
      <c r="I18" s="6">
        <f>F18-G18-H18</f>
        <v/>
      </c>
      <c r="J18" s="7" t="n">
        <v>23.3</v>
      </c>
      <c r="K18" s="7" t="n">
        <v>7.6</v>
      </c>
      <c r="L18" s="5" t="n">
        <v>151236445958.39</v>
      </c>
    </row>
    <row r="19">
      <c r="A19" s="8" t="inlineStr">
        <is>
          <t>Apr</t>
        </is>
      </c>
      <c r="B19" s="8" t="n">
        <v>2023</v>
      </c>
      <c r="C19" s="8" t="inlineStr">
        <is>
          <t>Q2</t>
        </is>
      </c>
      <c r="D19" s="9" t="n">
        <v>10409714677.85</v>
      </c>
      <c r="E19" s="9" t="n">
        <v>3651459478.5</v>
      </c>
      <c r="F19" s="10">
        <f>D19+E19</f>
        <v/>
      </c>
      <c r="G19" s="9" t="n">
        <v>4414786536.4</v>
      </c>
      <c r="H19" s="9" t="n">
        <v>1368832254.41</v>
      </c>
      <c r="I19" s="10">
        <f>F19-G19-H19</f>
        <v/>
      </c>
      <c r="J19" s="11" t="n">
        <v>25.2</v>
      </c>
      <c r="K19" s="11" t="n">
        <v>4.3</v>
      </c>
      <c r="L19" s="9" t="n">
        <v>146779629658.19</v>
      </c>
    </row>
    <row r="20">
      <c r="A20" s="4" t="inlineStr">
        <is>
          <t>May</t>
        </is>
      </c>
      <c r="B20" s="4" t="n">
        <v>2023</v>
      </c>
      <c r="C20" s="4" t="inlineStr">
        <is>
          <t>Q2</t>
        </is>
      </c>
      <c r="D20" s="5" t="n">
        <v>11202176496.63</v>
      </c>
      <c r="E20" s="5" t="n">
        <v>2506774706.2</v>
      </c>
      <c r="F20" s="6">
        <f>D20+E20</f>
        <v/>
      </c>
      <c r="G20" s="5" t="n">
        <v>5164379660.54</v>
      </c>
      <c r="H20" s="5" t="n">
        <v>1570567292.09</v>
      </c>
      <c r="I20" s="6">
        <f>F20-G20-H20</f>
        <v/>
      </c>
      <c r="J20" s="7" t="n">
        <v>20.1</v>
      </c>
      <c r="K20" s="7" t="n">
        <v>5.8</v>
      </c>
      <c r="L20" s="5" t="n">
        <v>144014543928.21</v>
      </c>
    </row>
    <row r="21">
      <c r="A21" s="8" t="inlineStr">
        <is>
          <t>Jun</t>
        </is>
      </c>
      <c r="B21" s="8" t="n">
        <v>2023</v>
      </c>
      <c r="C21" s="8" t="inlineStr">
        <is>
          <t>Q2</t>
        </is>
      </c>
      <c r="D21" s="9" t="n">
        <v>11841771244.57</v>
      </c>
      <c r="E21" s="9" t="n">
        <v>4429694089.13</v>
      </c>
      <c r="F21" s="10">
        <f>D21+E21</f>
        <v/>
      </c>
      <c r="G21" s="9" t="n">
        <v>5800796225.09</v>
      </c>
      <c r="H21" s="9" t="n">
        <v>1190027903.66</v>
      </c>
      <c r="I21" s="10">
        <f>F21-G21-H21</f>
        <v/>
      </c>
      <c r="J21" s="11" t="n">
        <v>19.2</v>
      </c>
      <c r="K21" s="11" t="n">
        <v>5.5</v>
      </c>
      <c r="L21" s="9" t="n">
        <v>134510554467.6</v>
      </c>
    </row>
    <row r="22">
      <c r="A22" s="4" t="inlineStr">
        <is>
          <t>Jul</t>
        </is>
      </c>
      <c r="B22" s="4" t="n">
        <v>2023</v>
      </c>
      <c r="C22" s="4" t="inlineStr">
        <is>
          <t>Q3</t>
        </is>
      </c>
      <c r="D22" s="5" t="n">
        <v>12718141549.94</v>
      </c>
      <c r="E22" s="5" t="n">
        <v>5049269864.45</v>
      </c>
      <c r="F22" s="6">
        <f>D22+E22</f>
        <v/>
      </c>
      <c r="G22" s="5" t="n">
        <v>3879650633.35</v>
      </c>
      <c r="H22" s="5" t="n">
        <v>1670818011.93</v>
      </c>
      <c r="I22" s="6">
        <f>F22-G22-H22</f>
        <v/>
      </c>
      <c r="J22" s="7" t="n">
        <v>31.6</v>
      </c>
      <c r="K22" s="7" t="n">
        <v>5.7</v>
      </c>
      <c r="L22" s="5" t="n">
        <v>161159414147.27</v>
      </c>
    </row>
    <row r="23">
      <c r="A23" s="8" t="inlineStr">
        <is>
          <t>Aug</t>
        </is>
      </c>
      <c r="B23" s="8" t="n">
        <v>2023</v>
      </c>
      <c r="C23" s="8" t="inlineStr">
        <is>
          <t>Q3</t>
        </is>
      </c>
      <c r="D23" s="9" t="n">
        <v>12789254597.78</v>
      </c>
      <c r="E23" s="9" t="n">
        <v>4390518349.89</v>
      </c>
      <c r="F23" s="10">
        <f>D23+E23</f>
        <v/>
      </c>
      <c r="G23" s="9" t="n">
        <v>5004351178.22</v>
      </c>
      <c r="H23" s="9" t="n">
        <v>892111488.51</v>
      </c>
      <c r="I23" s="10">
        <f>F23-G23-H23</f>
        <v/>
      </c>
      <c r="J23" s="11" t="n">
        <v>17</v>
      </c>
      <c r="K23" s="11" t="n">
        <v>7.5</v>
      </c>
      <c r="L23" s="9" t="n">
        <v>161458807340.01</v>
      </c>
    </row>
    <row r="24">
      <c r="A24" s="4" t="inlineStr">
        <is>
          <t>Sep</t>
        </is>
      </c>
      <c r="B24" s="4" t="n">
        <v>2023</v>
      </c>
      <c r="C24" s="4" t="inlineStr">
        <is>
          <t>Q3</t>
        </is>
      </c>
      <c r="D24" s="5" t="n">
        <v>13076497800.29</v>
      </c>
      <c r="E24" s="5" t="n">
        <v>2961340628.67</v>
      </c>
      <c r="F24" s="6">
        <f>D24+E24</f>
        <v/>
      </c>
      <c r="G24" s="5" t="n">
        <v>5092924859.99</v>
      </c>
      <c r="H24" s="5" t="n">
        <v>1517413468.33</v>
      </c>
      <c r="I24" s="6">
        <f>F24-G24-H24</f>
        <v/>
      </c>
      <c r="J24" s="7" t="n">
        <v>23.9</v>
      </c>
      <c r="K24" s="7" t="n">
        <v>3.2</v>
      </c>
      <c r="L24" s="5" t="n">
        <v>178896127293.02</v>
      </c>
    </row>
    <row r="25">
      <c r="A25" s="8" t="inlineStr">
        <is>
          <t>Oct</t>
        </is>
      </c>
      <c r="B25" s="8" t="n">
        <v>2023</v>
      </c>
      <c r="C25" s="8" t="inlineStr">
        <is>
          <t>Q4</t>
        </is>
      </c>
      <c r="D25" s="9" t="n">
        <v>13086256380.97</v>
      </c>
      <c r="E25" s="9" t="n">
        <v>3252138737.42</v>
      </c>
      <c r="F25" s="10">
        <f>D25+E25</f>
        <v/>
      </c>
      <c r="G25" s="9" t="n">
        <v>5018216095.63</v>
      </c>
      <c r="H25" s="9" t="n">
        <v>1113329768.9</v>
      </c>
      <c r="I25" s="10">
        <f>F25-G25-H25</f>
        <v/>
      </c>
      <c r="J25" s="11" t="n">
        <v>17.2</v>
      </c>
      <c r="K25" s="11" t="n">
        <v>4.7</v>
      </c>
      <c r="L25" s="9" t="n">
        <v>235348028557.03</v>
      </c>
    </row>
    <row r="26">
      <c r="A26" s="4" t="inlineStr">
        <is>
          <t>Nov</t>
        </is>
      </c>
      <c r="B26" s="4" t="n">
        <v>2023</v>
      </c>
      <c r="C26" s="4" t="inlineStr">
        <is>
          <t>Q4</t>
        </is>
      </c>
      <c r="D26" s="5" t="n">
        <v>13466036585.88</v>
      </c>
      <c r="E26" s="5" t="n">
        <v>3441658766.73</v>
      </c>
      <c r="F26" s="6">
        <f>D26+E26</f>
        <v/>
      </c>
      <c r="G26" s="5" t="n">
        <v>5221730163.24</v>
      </c>
      <c r="H26" s="5" t="n">
        <v>1116593833.3</v>
      </c>
      <c r="I26" s="6">
        <f>F26-G26-H26</f>
        <v/>
      </c>
      <c r="J26" s="7" t="n">
        <v>28.7</v>
      </c>
      <c r="K26" s="7" t="n">
        <v>3.4</v>
      </c>
      <c r="L26" s="5" t="n">
        <v>182384735799.23</v>
      </c>
    </row>
    <row r="27">
      <c r="A27" s="8" t="inlineStr">
        <is>
          <t>Dec</t>
        </is>
      </c>
      <c r="B27" s="8" t="n">
        <v>2023</v>
      </c>
      <c r="C27" s="8" t="inlineStr">
        <is>
          <t>Q4</t>
        </is>
      </c>
      <c r="D27" s="9" t="n">
        <v>14292890766.73</v>
      </c>
      <c r="E27" s="9" t="n">
        <v>4631709348.68</v>
      </c>
      <c r="F27" s="10">
        <f>D27+E27</f>
        <v/>
      </c>
      <c r="G27" s="9" t="n">
        <v>5878521131.32</v>
      </c>
      <c r="H27" s="9" t="n">
        <v>1720344270.74</v>
      </c>
      <c r="I27" s="10">
        <f>F27-G27-H27</f>
        <v/>
      </c>
      <c r="J27" s="11" t="n">
        <v>15.6</v>
      </c>
      <c r="K27" s="11" t="n">
        <v>2.6</v>
      </c>
      <c r="L27" s="9" t="n">
        <v>207596544430.57</v>
      </c>
    </row>
    <row r="28">
      <c r="A28" s="4" t="inlineStr">
        <is>
          <t>Jan</t>
        </is>
      </c>
      <c r="B28" s="4" t="n">
        <v>2024</v>
      </c>
      <c r="C28" s="4" t="inlineStr">
        <is>
          <t>Q1</t>
        </is>
      </c>
      <c r="D28" s="5" t="n">
        <v>15247414302.81</v>
      </c>
      <c r="E28" s="5" t="n">
        <v>5742085926.2</v>
      </c>
      <c r="F28" s="6">
        <f>D28+E28</f>
        <v/>
      </c>
      <c r="G28" s="5" t="n">
        <v>7550018296.63</v>
      </c>
      <c r="H28" s="5" t="n">
        <v>1811895284.03</v>
      </c>
      <c r="I28" s="6">
        <f>F28-G28-H28</f>
        <v/>
      </c>
      <c r="J28" s="7" t="n">
        <v>17.4</v>
      </c>
      <c r="K28" s="7" t="n">
        <v>5.6</v>
      </c>
      <c r="L28" s="5" t="n">
        <v>248431016249.79</v>
      </c>
    </row>
    <row r="29">
      <c r="A29" s="8" t="inlineStr">
        <is>
          <t>Feb</t>
        </is>
      </c>
      <c r="B29" s="8" t="n">
        <v>2024</v>
      </c>
      <c r="C29" s="8" t="inlineStr">
        <is>
          <t>Q1</t>
        </is>
      </c>
      <c r="D29" s="9" t="n">
        <v>15320828696.85</v>
      </c>
      <c r="E29" s="9" t="n">
        <v>5670427713.72</v>
      </c>
      <c r="F29" s="10">
        <f>D29+E29</f>
        <v/>
      </c>
      <c r="G29" s="9" t="n">
        <v>6763619035.46</v>
      </c>
      <c r="H29" s="9" t="n">
        <v>1273814119.54</v>
      </c>
      <c r="I29" s="10">
        <f>F29-G29-H29</f>
        <v/>
      </c>
      <c r="J29" s="11" t="n">
        <v>20.7</v>
      </c>
      <c r="K29" s="11" t="n">
        <v>7.6</v>
      </c>
      <c r="L29" s="9" t="n">
        <v>205389463469.59</v>
      </c>
    </row>
    <row r="30">
      <c r="A30" s="4" t="inlineStr">
        <is>
          <t>Mar</t>
        </is>
      </c>
      <c r="B30" s="4" t="n">
        <v>2024</v>
      </c>
      <c r="C30" s="4" t="inlineStr">
        <is>
          <t>Q1</t>
        </is>
      </c>
      <c r="D30" s="5" t="n">
        <v>15506464107.95</v>
      </c>
      <c r="E30" s="5" t="n">
        <v>5546591233.55</v>
      </c>
      <c r="F30" s="6">
        <f>D30+E30</f>
        <v/>
      </c>
      <c r="G30" s="5" t="n">
        <v>6984126400.88</v>
      </c>
      <c r="H30" s="5" t="n">
        <v>1299130992.14</v>
      </c>
      <c r="I30" s="6">
        <f>F30-G30-H30</f>
        <v/>
      </c>
      <c r="J30" s="7" t="n">
        <v>29</v>
      </c>
      <c r="K30" s="7" t="n">
        <v>4.2</v>
      </c>
      <c r="L30" s="5" t="n">
        <v>262350897130.84</v>
      </c>
    </row>
    <row r="31">
      <c r="A31" s="8" t="inlineStr">
        <is>
          <t>Apr</t>
        </is>
      </c>
      <c r="B31" s="8" t="n">
        <v>2024</v>
      </c>
      <c r="C31" s="8" t="inlineStr">
        <is>
          <t>Q2</t>
        </is>
      </c>
      <c r="D31" s="9" t="n">
        <v>16105663596.37</v>
      </c>
      <c r="E31" s="9" t="n">
        <v>6183599155.23</v>
      </c>
      <c r="F31" s="10">
        <f>D31+E31</f>
        <v/>
      </c>
      <c r="G31" s="9" t="n">
        <v>6699021647.62</v>
      </c>
      <c r="H31" s="9" t="n">
        <v>999604586.38</v>
      </c>
      <c r="I31" s="10">
        <f>F31-G31-H31</f>
        <v/>
      </c>
      <c r="J31" s="11" t="n">
        <v>20.6</v>
      </c>
      <c r="K31" s="11" t="n">
        <v>2.8</v>
      </c>
      <c r="L31" s="9" t="n">
        <v>253106610643.35</v>
      </c>
    </row>
    <row r="32">
      <c r="A32" s="4" t="inlineStr">
        <is>
          <t>May</t>
        </is>
      </c>
      <c r="B32" s="4" t="n">
        <v>2024</v>
      </c>
      <c r="C32" s="4" t="inlineStr">
        <is>
          <t>Q2</t>
        </is>
      </c>
      <c r="D32" s="5" t="n">
        <v>15702532695.17</v>
      </c>
      <c r="E32" s="5" t="n">
        <v>4525435120.89</v>
      </c>
      <c r="F32" s="6">
        <f>D32+E32</f>
        <v/>
      </c>
      <c r="G32" s="5" t="n">
        <v>5779288595.37</v>
      </c>
      <c r="H32" s="5" t="n">
        <v>1068886972.79</v>
      </c>
      <c r="I32" s="6">
        <f>F32-G32-H32</f>
        <v/>
      </c>
      <c r="J32" s="7" t="n">
        <v>15.5</v>
      </c>
      <c r="K32" s="7" t="n">
        <v>2.1</v>
      </c>
      <c r="L32" s="5" t="n">
        <v>217326610871.91</v>
      </c>
    </row>
    <row r="33">
      <c r="A33" s="8" t="inlineStr">
        <is>
          <t>Jun</t>
        </is>
      </c>
      <c r="B33" s="8" t="n">
        <v>2024</v>
      </c>
      <c r="C33" s="8" t="inlineStr">
        <is>
          <t>Q2</t>
        </is>
      </c>
      <c r="D33" s="9" t="n">
        <v>15447506881.71</v>
      </c>
      <c r="E33" s="9" t="n">
        <v>3979294670.2</v>
      </c>
      <c r="F33" s="10">
        <f>D33+E33</f>
        <v/>
      </c>
      <c r="G33" s="9" t="n">
        <v>6293187696.46</v>
      </c>
      <c r="H33" s="9" t="n">
        <v>1276280125.96</v>
      </c>
      <c r="I33" s="10">
        <f>F33-G33-H33</f>
        <v/>
      </c>
      <c r="J33" s="11" t="n">
        <v>26.4</v>
      </c>
      <c r="K33" s="11" t="n">
        <v>7.7</v>
      </c>
      <c r="L33" s="9" t="n">
        <v>208158574849.21</v>
      </c>
    </row>
    <row r="34">
      <c r="A34" s="4" t="inlineStr">
        <is>
          <t>Jul</t>
        </is>
      </c>
      <c r="B34" s="4" t="n">
        <v>2024</v>
      </c>
      <c r="C34" s="4" t="inlineStr">
        <is>
          <t>Q3</t>
        </is>
      </c>
      <c r="D34" s="5" t="n">
        <v>15538028806.06</v>
      </c>
      <c r="E34" s="5" t="n">
        <v>3934687112.79</v>
      </c>
      <c r="F34" s="6">
        <f>D34+E34</f>
        <v/>
      </c>
      <c r="G34" s="5" t="n">
        <v>5995733541.08</v>
      </c>
      <c r="H34" s="5" t="n">
        <v>1680577207.66</v>
      </c>
      <c r="I34" s="6">
        <f>F34-G34-H34</f>
        <v/>
      </c>
      <c r="J34" s="7" t="n">
        <v>28.1</v>
      </c>
      <c r="K34" s="7" t="n">
        <v>2.6</v>
      </c>
      <c r="L34" s="5" t="n">
        <v>261332193389.62</v>
      </c>
    </row>
    <row r="35">
      <c r="A35" s="8" t="inlineStr">
        <is>
          <t>Aug</t>
        </is>
      </c>
      <c r="B35" s="8" t="n">
        <v>2024</v>
      </c>
      <c r="C35" s="8" t="inlineStr">
        <is>
          <t>Q3</t>
        </is>
      </c>
      <c r="D35" s="9" t="n">
        <v>15576018964.72</v>
      </c>
      <c r="E35" s="9" t="n">
        <v>6020349399.48</v>
      </c>
      <c r="F35" s="10">
        <f>D35+E35</f>
        <v/>
      </c>
      <c r="G35" s="9" t="n">
        <v>6256065732.68</v>
      </c>
      <c r="H35" s="9" t="n">
        <v>1174477829.93</v>
      </c>
      <c r="I35" s="10">
        <f>F35-G35-H35</f>
        <v/>
      </c>
      <c r="J35" s="11" t="n">
        <v>26.5</v>
      </c>
      <c r="K35" s="11" t="n">
        <v>3.7</v>
      </c>
      <c r="L35" s="9" t="n">
        <v>215477154617.34</v>
      </c>
    </row>
    <row r="36">
      <c r="A36" s="4" t="inlineStr">
        <is>
          <t>Sep</t>
        </is>
      </c>
      <c r="B36" s="4" t="n">
        <v>2024</v>
      </c>
      <c r="C36" s="4" t="inlineStr">
        <is>
          <t>Q3</t>
        </is>
      </c>
      <c r="D36" s="5" t="n">
        <v>16574252645.93</v>
      </c>
      <c r="E36" s="5" t="n">
        <v>6594350797.35</v>
      </c>
      <c r="F36" s="6">
        <f>D36+E36</f>
        <v/>
      </c>
      <c r="G36" s="5" t="n">
        <v>6043412717.5</v>
      </c>
      <c r="H36" s="5" t="n">
        <v>1601820172.73</v>
      </c>
      <c r="I36" s="6">
        <f>F36-G36-H36</f>
        <v/>
      </c>
      <c r="J36" s="7" t="n">
        <v>19.4</v>
      </c>
      <c r="K36" s="7" t="n">
        <v>5.4</v>
      </c>
      <c r="L36" s="5" t="n">
        <v>276365708055.92</v>
      </c>
    </row>
    <row r="37">
      <c r="A37" s="8" t="inlineStr">
        <is>
          <t>Oct</t>
        </is>
      </c>
      <c r="B37" s="8" t="n">
        <v>2024</v>
      </c>
      <c r="C37" s="8" t="inlineStr">
        <is>
          <t>Q4</t>
        </is>
      </c>
      <c r="D37" s="9" t="n">
        <v>17875554686.87</v>
      </c>
      <c r="E37" s="9" t="n">
        <v>6287806170.68</v>
      </c>
      <c r="F37" s="10">
        <f>D37+E37</f>
        <v/>
      </c>
      <c r="G37" s="9" t="n">
        <v>5642430469.46</v>
      </c>
      <c r="H37" s="9" t="n">
        <v>1973146545.86</v>
      </c>
      <c r="I37" s="10">
        <f>F37-G37-H37</f>
        <v/>
      </c>
      <c r="J37" s="11" t="n">
        <v>24.5</v>
      </c>
      <c r="K37" s="11" t="n">
        <v>4.5</v>
      </c>
      <c r="L37" s="9" t="n">
        <v>233445975059.84</v>
      </c>
    </row>
    <row r="38">
      <c r="A38" s="4" t="inlineStr">
        <is>
          <t>Nov</t>
        </is>
      </c>
      <c r="B38" s="4" t="n">
        <v>2024</v>
      </c>
      <c r="C38" s="4" t="inlineStr">
        <is>
          <t>Q4</t>
        </is>
      </c>
      <c r="D38" s="5" t="n">
        <v>18571596057.38</v>
      </c>
      <c r="E38" s="5" t="n">
        <v>6805294224.54</v>
      </c>
      <c r="F38" s="6">
        <f>D38+E38</f>
        <v/>
      </c>
      <c r="G38" s="5" t="n">
        <v>7553693917.27</v>
      </c>
      <c r="H38" s="5" t="n">
        <v>1394744918.3</v>
      </c>
      <c r="I38" s="6">
        <f>F38-G38-H38</f>
        <v/>
      </c>
      <c r="J38" s="7" t="n">
        <v>19.6</v>
      </c>
      <c r="K38" s="7" t="n">
        <v>2.2</v>
      </c>
      <c r="L38" s="5" t="n">
        <v>284427836375.49</v>
      </c>
    </row>
    <row r="39">
      <c r="A39" s="8" t="inlineStr">
        <is>
          <t>Dec</t>
        </is>
      </c>
      <c r="B39" s="8" t="n">
        <v>2024</v>
      </c>
      <c r="C39" s="8" t="inlineStr">
        <is>
          <t>Q4</t>
        </is>
      </c>
      <c r="D39" s="9" t="n">
        <v>19698492664.44</v>
      </c>
      <c r="E39" s="9" t="n">
        <v>4972032732.72</v>
      </c>
      <c r="F39" s="10">
        <f>D39+E39</f>
        <v/>
      </c>
      <c r="G39" s="9" t="n">
        <v>8273914140.89</v>
      </c>
      <c r="H39" s="9" t="n">
        <v>2317389809.55</v>
      </c>
      <c r="I39" s="10">
        <f>F39-G39-H39</f>
        <v/>
      </c>
      <c r="J39" s="11" t="n">
        <v>24.4</v>
      </c>
      <c r="K39" s="11" t="n">
        <v>3.5</v>
      </c>
      <c r="L39" s="9" t="n">
        <v>285785839475.5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2026-04-25T20:05:25Z</dcterms:created>
  <dcterms:modified xmlns:dcterms="http://purl.org/dc/terms/" xmlns:xsi="http://www.w3.org/2001/XMLSchema-instance" xsi:type="dcterms:W3CDTF">2026-04-25T20:05:25Z</dcterms:modified>
</cp:coreProperties>
</file>